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updateLinks="never" codeName="BuÇalışmaKitabı" autoCompressPictures="0" defaultThemeVersion="124226"/>
  <xr:revisionPtr revIDLastSave="0" documentId="13_ncr:1_{C6E110B1-AE5A-4E1F-9A8F-680414B01D3E}" xr6:coauthVersionLast="47" xr6:coauthVersionMax="47" xr10:uidLastSave="{00000000-0000-0000-0000-000000000000}"/>
  <workbookProtection workbookAlgorithmName="SHA-512" workbookHashValue="lPjz+u/Enl+61nfKRW0XU/7VSl9Vl6WOYP/EgEghoBXlbMPXE4GWcnPjEWEI+MGA3oFh3+IBV4zKzJtAaWIB/g==" workbookSaltValue="sPRhMd+St/YStmlkqJvE9w==" workbookSpinCount="100000" lockStructure="1"/>
  <bookViews>
    <workbookView xWindow="0" yWindow="780" windowWidth="28800" windowHeight="12390" tabRatio="817" xr2:uid="{00000000-000D-0000-FFFF-FFFF00000000}"/>
  </bookViews>
  <sheets>
    <sheet name="Fatura Detay Formu" sheetId="25" r:id="rId1"/>
    <sheet name="Veriler" sheetId="26" state="hidden" r:id="rId2"/>
  </sheets>
  <definedNames>
    <definedName name="Akaryakıt_Hacim_Ölçek_Kapları" localSheetId="0">Veriler!$C$28:$C$29</definedName>
    <definedName name="Akaryakıt_LPG_Adblue_Dispenserleri" localSheetId="0">Veriler!$C$2:$C$7</definedName>
    <definedName name="Aks_Kantarları" localSheetId="0">Veriler!$C$31:$C$33</definedName>
    <definedName name="CNG_Dispenserleri" localSheetId="0">Veriler!$C$39:$C$40</definedName>
    <definedName name="Demiryolu_Yük_ve_Sarnıçlı_Vagonları" localSheetId="0">Veriler!$C$35</definedName>
    <definedName name="Hız_İhlal_Tespit_Donanımları" localSheetId="0">Veriler!$C$42:$C$45</definedName>
    <definedName name="Kütle_Ölçüleri" localSheetId="0">Veriler!$C$47:$C$53</definedName>
    <definedName name="Lastik_Hava_Basınçölçerler" localSheetId="0">Veriler!$C$37</definedName>
    <definedName name="Su_Dışındaki_Sıvılar_İçin_Ölçme_Sistemleri" localSheetId="0">Veriler!$C$19:$C$26</definedName>
    <definedName name="Tanker_Sayaçları" localSheetId="0">Veriler!$C$16:$C$17</definedName>
    <definedName name="Tartı_Aletleri" localSheetId="0">Veriler!$C$9:$C$14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6" l="1"/>
  <c r="F53" i="26"/>
  <c r="F52" i="26"/>
  <c r="F51" i="26"/>
  <c r="F50" i="26"/>
  <c r="F49" i="26"/>
  <c r="F48" i="26"/>
  <c r="F47" i="26"/>
  <c r="F45" i="26"/>
  <c r="F44" i="26"/>
  <c r="F43" i="26"/>
  <c r="F42" i="26"/>
  <c r="F40" i="26"/>
  <c r="F39" i="26"/>
  <c r="F37" i="26"/>
  <c r="F35" i="26"/>
  <c r="F33" i="26"/>
  <c r="F32" i="26"/>
  <c r="F31" i="26"/>
  <c r="F29" i="26"/>
  <c r="F28" i="26"/>
  <c r="F26" i="26"/>
  <c r="F25" i="26"/>
  <c r="F24" i="26"/>
  <c r="F23" i="26"/>
  <c r="F22" i="26"/>
  <c r="F21" i="26"/>
  <c r="F20" i="26"/>
  <c r="F19" i="26"/>
  <c r="F17" i="26"/>
  <c r="F16" i="26"/>
  <c r="F14" i="26"/>
  <c r="F13" i="26"/>
  <c r="F12" i="26"/>
  <c r="F11" i="26"/>
  <c r="F10" i="26"/>
  <c r="F9" i="26"/>
  <c r="F7" i="26"/>
  <c r="F6" i="26"/>
  <c r="F5" i="26"/>
  <c r="F4" i="26"/>
  <c r="F3" i="26"/>
  <c r="A20" i="25"/>
  <c r="F19" i="25"/>
  <c r="H19" i="25" s="1"/>
  <c r="F18" i="25"/>
  <c r="H18" i="25" s="1"/>
  <c r="F17" i="25"/>
  <c r="H17" i="25" s="1"/>
  <c r="F16" i="25"/>
  <c r="H16" i="25" s="1"/>
  <c r="F15" i="25"/>
  <c r="H15" i="25" s="1"/>
  <c r="F14" i="25"/>
  <c r="H14" i="25" s="1"/>
  <c r="F13" i="25"/>
  <c r="H13" i="25" s="1"/>
  <c r="F12" i="25"/>
  <c r="H12" i="25" s="1"/>
  <c r="H20" i="25" l="1"/>
  <c r="H21" i="25" l="1"/>
  <c r="H22" i="25" s="1"/>
</calcChain>
</file>

<file path=xl/sharedStrings.xml><?xml version="1.0" encoding="utf-8"?>
<sst xmlns="http://schemas.openxmlformats.org/spreadsheetml/2006/main" count="117" uniqueCount="93">
  <si>
    <t>FATURA DETAYI</t>
  </si>
  <si>
    <t>EVRAK NO</t>
  </si>
  <si>
    <t>TALEP YAPAN FİRMA</t>
  </si>
  <si>
    <t>FATURA ADRESİ</t>
  </si>
  <si>
    <t>TELEFON</t>
  </si>
  <si>
    <t>ADET</t>
  </si>
  <si>
    <t>BİRİM FİYAT</t>
  </si>
  <si>
    <t>TL</t>
  </si>
  <si>
    <t>TOPLAM (KDV HARİÇ)</t>
  </si>
  <si>
    <t>DÜZENLEME TARİHİ</t>
  </si>
  <si>
    <t>DÜZENLEYEN</t>
  </si>
  <si>
    <t>ADI VE SOYADI</t>
  </si>
  <si>
    <t>İMZA</t>
  </si>
  <si>
    <t>Tartı Aletleri</t>
  </si>
  <si>
    <t>Akaryakıt/LPG/Adblue Dispenserleri</t>
  </si>
  <si>
    <t>Tanker Sayaçları</t>
  </si>
  <si>
    <t>Su Dışındaki Diğer Sıvılar için Ölçme Sistemleri</t>
  </si>
  <si>
    <r>
      <t xml:space="preserve">VERGİ DAİRESİ </t>
    </r>
    <r>
      <rPr>
        <b/>
        <sz val="10"/>
        <color rgb="FF000000"/>
        <rFont val="Times New Roman"/>
        <family val="1"/>
        <charset val="162"/>
      </rPr>
      <t>-</t>
    </r>
    <r>
      <rPr>
        <b/>
        <sz val="10"/>
        <color theme="1"/>
        <rFont val="Times New Roman"/>
        <family val="1"/>
        <charset val="162"/>
      </rPr>
      <t xml:space="preserve"> VERGİ NO</t>
    </r>
  </si>
  <si>
    <t>Lastik Hava Basınçölçerler</t>
  </si>
  <si>
    <t>Akaryakıt Hacim Ölçek Kapları</t>
  </si>
  <si>
    <t>Aks Kantarları</t>
  </si>
  <si>
    <t>Demiryolu Yük ve Sarnıçlı Vagonları</t>
  </si>
  <si>
    <t>Sıkıştırılmış Doğal Gaz (CNG) Ölçme Sistemleri</t>
  </si>
  <si>
    <t>ÖLÇÜ ALETİ BİLGİSİ</t>
  </si>
  <si>
    <t>Karat Kütleler</t>
  </si>
  <si>
    <t>Ölçü Aletleri</t>
  </si>
  <si>
    <t>Tartı_Aletleri</t>
  </si>
  <si>
    <t>Tanker_Sayaçları</t>
  </si>
  <si>
    <t>Akaryakıt_LPG_Adblue_Dispenserleri</t>
  </si>
  <si>
    <t>Kütle Setleri</t>
  </si>
  <si>
    <t>Kütle_Ölçüleri</t>
  </si>
  <si>
    <t>Lastik_Hava_Basınçölçerler</t>
  </si>
  <si>
    <t>Akaryakıt_Hacim_Ölçek_Kapları</t>
  </si>
  <si>
    <t>Aks_Kantarları</t>
  </si>
  <si>
    <t>Demiryolu_Yük_ve_Sarnıçlı_Vagonları</t>
  </si>
  <si>
    <t>Kütle Ölçüleri</t>
  </si>
  <si>
    <t>Ölçü Aleti Adı</t>
  </si>
  <si>
    <t>Ölçü Aleti Bilgisi</t>
  </si>
  <si>
    <r>
      <t xml:space="preserve">TAMİR AYAR FİRMASI </t>
    </r>
    <r>
      <rPr>
        <sz val="10"/>
        <color theme="1"/>
        <rFont val="Times New Roman"/>
        <family val="1"/>
        <charset val="162"/>
      </rPr>
      <t>(Fatura Tas’a Kesilecekse Doldurunuz.)</t>
    </r>
  </si>
  <si>
    <t>ÖLÇÜ ALETİ ADI</t>
  </si>
  <si>
    <t>ARA TOPLAM (KDV HARİÇ)</t>
  </si>
  <si>
    <t>MUAYENE UZMANI</t>
  </si>
  <si>
    <t>GENEL TOPLAM (KDV DÂHİL)</t>
  </si>
  <si>
    <t>Su_Dışındaki_Sıvılar_İçin_Ölçme_Sistemleri</t>
  </si>
  <si>
    <t>CNG_Dispenserleri</t>
  </si>
  <si>
    <t>BAŞVURU (EVRAK) YILI</t>
  </si>
  <si>
    <t>FATURAYA ESAS MUAYENE ÜCRETİ (KDV HARİÇ)*</t>
  </si>
  <si>
    <t>Başvuru Tarihi</t>
  </si>
  <si>
    <t>Düzenleme Tarihi</t>
  </si>
  <si>
    <t xml:space="preserve"> </t>
  </si>
  <si>
    <t>KDV (%20)</t>
  </si>
  <si>
    <t>E-POSTA</t>
  </si>
  <si>
    <t>Tanker Sayaçları-(Periyodik, Stok)</t>
  </si>
  <si>
    <t>Tanker Sayaçları-(TAS)</t>
  </si>
  <si>
    <t>Hacmi 50 Litreye Kadar Olanlar (50 Litre Dahil)</t>
  </si>
  <si>
    <t>Hacmi 50 Litreden Fazla Olanlar</t>
  </si>
  <si>
    <t>(Periyodik, Stok)</t>
  </si>
  <si>
    <t>(TAS) (Yük TSE'den)</t>
  </si>
  <si>
    <t>CNG Dispenserleri-(Periyodik, Stok)</t>
  </si>
  <si>
    <t>CNG Dispenserleri-(TAS)</t>
  </si>
  <si>
    <t>M1 Sınıfı- 50 kg Kadar Olanlar (50 kg Dâhil)</t>
  </si>
  <si>
    <t>F1 ve F2 Sınıfı</t>
  </si>
  <si>
    <t>E2 Sınıfı</t>
  </si>
  <si>
    <t>M1 Sınıfı- 50 kg Üstü</t>
  </si>
  <si>
    <t>M3, M2 Sınıfı</t>
  </si>
  <si>
    <t>Mak. Akış Hızı 751 L/dk 551 kg/dk Üzeri-(Periyodik, Stok)</t>
  </si>
  <si>
    <t>Mak. Akış Hızı 751 L/dk 551 kg/dk Üzeri-(TAS)</t>
  </si>
  <si>
    <t>Mak. Akış Hızı 130 L/dk-100 kg/dk Kadar-(Periyodik, Stok)</t>
  </si>
  <si>
    <t>Mak. Akış Hızı 130 L/dk-100 kg/dk Kadar-(TAS)</t>
  </si>
  <si>
    <t>Mak. Akış Hızı 750 L/dk -550 kg/dk Kadar-(Periyodik, Stok)</t>
  </si>
  <si>
    <t>Mak. Akış Hızı 750 L/dk-550 kg/dk Kadar-(TAS)</t>
  </si>
  <si>
    <t>Mak. Kap. 2.000-30.000 kg Arası-(Periyodik, Stok)</t>
  </si>
  <si>
    <t>Yük TAS'tan Mak. Kap. 2.000-30.000 kg Arası</t>
  </si>
  <si>
    <t>Yük TAS'tan Mak. Kap. 30.001 kg ve Üzeri</t>
  </si>
  <si>
    <t>Mak. Kap. 30.001 kg ve Üzeri-(TAS)</t>
  </si>
  <si>
    <t>Mak. Kap. 30.001 kg ve Üzeri-(Periyodik, Stok)</t>
  </si>
  <si>
    <t>Mak. Kap. 2.000-30.000 kg Arası-(TAS)</t>
  </si>
  <si>
    <t>(TAS) (Yük TAS'tan)</t>
  </si>
  <si>
    <t>Hız_İhlal_Tespit_Donanımları</t>
  </si>
  <si>
    <t>Hız İhlal Tespit Donanımı(Mobil)</t>
  </si>
  <si>
    <t>Hız İhlal Tespit Donanımı(Sabit)</t>
  </si>
  <si>
    <t>Hız İhlal Tespit Donanımı(Ortalama-Donanım Muayenesi)</t>
  </si>
  <si>
    <t>Hız İhlal Tespit Donanımı(Ortalama-Genel Muayene)</t>
  </si>
  <si>
    <t>Hız İhlal Tespit Donanımı</t>
  </si>
  <si>
    <t>(Rafineri veya Gemide Kullanılan) Mak. Akış Hızı 131 L/dk-101 kg/dk Üzeri-(Periyodik, Stok)</t>
  </si>
  <si>
    <t>(Rafineri veya Gemide Kullanılan) Mak. Akış Hızı 131 L/dk-101 kg/dk Üzeri-(TAS)</t>
  </si>
  <si>
    <t>Mak. Akış Hızı 751 L/dk-551 kg/dk Üzeri-(Periyodik, Stok)</t>
  </si>
  <si>
    <t>Mak. Akış Hızı 751 L/dk-551 kg/dk Üzeri-(TAS)</t>
  </si>
  <si>
    <t>Mak. Akış Hızı 131-750 L/dk 101-550 kg/dk Arası-(Periyodik, Stok)</t>
  </si>
  <si>
    <t>Mak. Akış Hızı 131-750 L/dk 101-550 kg/dk Arası-(TAS)</t>
  </si>
  <si>
    <t>2025 Ücret</t>
  </si>
  <si>
    <t>2026 Ücret</t>
  </si>
  <si>
    <t>Ömer Faruk MURAT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</si>
</sst>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-* #,##0\ _₺_-;\-* #,##0\ _₺_-;_-* &quot;-&quot;\ _₺_-;_-@_-"/>
    <numFmt numFmtId="167" formatCode="_-* #,##0.00\ _₺_-;\-* #,##0.00\ _₺_-;_-* &quot;-&quot;??\ _₺_-;_-@_-"/>
    <numFmt numFmtId="168" formatCode="_-* #,##0.00\ _T_L_-;\-* #,##0.00\ _T_L_-;_-* &quot;-&quot;??\ _T_L_-;_-@_-"/>
    <numFmt numFmtId="169" formatCode="dd/mm/yyyy;@"/>
    <numFmt numFmtId="170" formatCode="#,##0.00\ &quot;₺&quot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162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4.9897762993255407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4" fontId="6" fillId="0" borderId="1" xfId="0" applyNumberFormat="1" applyFont="1" applyBorder="1" applyAlignment="1" applyProtection="1">
      <alignment horizontal="center" vertical="center" wrapText="1"/>
    </xf>
    <xf numFmtId="4" fontId="8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14" fontId="4" fillId="0" borderId="0" xfId="0" applyNumberFormat="1" applyFont="1" applyBorder="1"/>
    <xf numFmtId="0" fontId="3" fillId="0" borderId="0" xfId="0" applyFont="1" applyBorder="1"/>
    <xf numFmtId="0" fontId="4" fillId="0" borderId="0" xfId="0" applyNumberFormat="1" applyFont="1" applyBorder="1"/>
    <xf numFmtId="170" fontId="7" fillId="0" borderId="0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170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9" fontId="7" fillId="0" borderId="0" xfId="8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4" fontId="6" fillId="0" borderId="1" xfId="0" applyNumberFormat="1" applyFont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5" xfId="0" applyFont="1" applyFill="1" applyBorder="1" applyAlignment="1" applyProtection="1">
      <alignment horizontal="left" vertical="center" wrapText="1"/>
    </xf>
    <xf numFmtId="49" fontId="7" fillId="0" borderId="1" xfId="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  <protection locked="0"/>
    </xf>
    <xf numFmtId="2" fontId="7" fillId="0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justify" vertical="center" wrapText="1"/>
    </xf>
    <xf numFmtId="0" fontId="6" fillId="0" borderId="7" xfId="0" applyFont="1" applyBorder="1" applyAlignment="1" applyProtection="1">
      <alignment horizontal="justify" vertical="center" wrapText="1"/>
    </xf>
    <xf numFmtId="0" fontId="6" fillId="0" borderId="8" xfId="0" applyFont="1" applyBorder="1" applyAlignment="1" applyProtection="1">
      <alignment horizontal="justify" vertical="center" wrapText="1"/>
    </xf>
    <xf numFmtId="0" fontId="6" fillId="0" borderId="9" xfId="0" applyFont="1" applyBorder="1" applyAlignment="1" applyProtection="1">
      <alignment horizontal="justify" vertical="center" wrapText="1"/>
    </xf>
    <xf numFmtId="0" fontId="6" fillId="0" borderId="0" xfId="0" applyFont="1" applyBorder="1" applyAlignment="1" applyProtection="1">
      <alignment horizontal="justify" vertical="center" wrapText="1"/>
    </xf>
    <xf numFmtId="0" fontId="6" fillId="0" borderId="10" xfId="0" applyFont="1" applyBorder="1" applyAlignment="1" applyProtection="1">
      <alignment horizontal="justify" vertical="center" wrapText="1"/>
    </xf>
    <xf numFmtId="0" fontId="6" fillId="0" borderId="11" xfId="0" applyFont="1" applyBorder="1" applyAlignment="1" applyProtection="1">
      <alignment horizontal="justify" vertical="center" wrapText="1"/>
    </xf>
    <xf numFmtId="0" fontId="6" fillId="0" borderId="12" xfId="0" applyFont="1" applyBorder="1" applyAlignment="1" applyProtection="1">
      <alignment horizontal="justify" vertical="center" wrapText="1"/>
    </xf>
    <xf numFmtId="0" fontId="6" fillId="0" borderId="13" xfId="0" applyFont="1" applyBorder="1" applyAlignment="1" applyProtection="1">
      <alignment horizontal="justify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14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169" fontId="6" fillId="0" borderId="1" xfId="0" applyNumberFormat="1" applyFont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  <cellStyle name="Virgül 2" xfId="7" xr:uid="{00000000-0005-0000-0000-000007000000}"/>
    <cellStyle name="Yüzde" xfId="8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78442</xdr:colOff>
      <xdr:row>24</xdr:row>
      <xdr:rowOff>11205</xdr:rowOff>
    </xdr:from>
    <xdr:to>
      <xdr:col>8</xdr:col>
      <xdr:colOff>292035</xdr:colOff>
      <xdr:row>25</xdr:row>
      <xdr:rowOff>3826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BE8E2E1-5E82-4908-B861-2A79F87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7354" y="9233646"/>
          <a:ext cx="1468652" cy="340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EA10-6F61-4BE5-AFDE-53EA95D1E5A7}">
  <sheetPr>
    <tabColor rgb="FFFFFF00"/>
    <pageSetUpPr fitToPage="1"/>
  </sheetPr>
  <dimension ref="A1:I25"/>
  <sheetViews>
    <sheetView showGridLines="0" tabSelected="1" view="pageLayout" zoomScale="85" zoomScaleNormal="70" zoomScaleSheetLayoutView="70" zoomScalePageLayoutView="85" workbookViewId="0">
      <selection activeCell="C3" sqref="C3:I3"/>
    </sheetView>
  </sheetViews>
  <sheetFormatPr defaultColWidth="1.42578125" defaultRowHeight="14.25" x14ac:dyDescent="0.25"/>
  <cols>
    <col min="1" max="1" width="4.85546875" style="2" customWidth="1"/>
    <col min="2" max="2" width="31.42578125" style="2" customWidth="1"/>
    <col min="3" max="3" width="15.140625" style="2" customWidth="1"/>
    <col min="4" max="4" width="15.85546875" style="2" customWidth="1"/>
    <col min="5" max="5" width="8.5703125" style="2" customWidth="1"/>
    <col min="6" max="6" width="12.42578125" style="2" customWidth="1"/>
    <col min="7" max="7" width="6.42578125" style="2" customWidth="1"/>
    <col min="8" max="8" width="11.140625" style="2" customWidth="1"/>
    <col min="9" max="9" width="6" style="2" customWidth="1"/>
    <col min="10" max="16384" width="1.42578125" style="2"/>
  </cols>
  <sheetData>
    <row r="1" spans="1:9" s="1" customFormat="1" ht="28.3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9" s="1" customFormat="1" ht="28.35" customHeight="1" x14ac:dyDescent="0.25">
      <c r="A2" s="39" t="s">
        <v>1</v>
      </c>
      <c r="B2" s="40"/>
      <c r="C2" s="41"/>
      <c r="D2" s="41"/>
      <c r="E2" s="41"/>
      <c r="F2" s="41"/>
      <c r="G2" s="41"/>
      <c r="H2" s="41"/>
      <c r="I2" s="41"/>
    </row>
    <row r="3" spans="1:9" s="1" customFormat="1" ht="28.35" customHeight="1" x14ac:dyDescent="0.25">
      <c r="A3" s="39" t="s">
        <v>45</v>
      </c>
      <c r="B3" s="40"/>
      <c r="C3" s="43">
        <v>2026</v>
      </c>
      <c r="D3" s="44"/>
      <c r="E3" s="44"/>
      <c r="F3" s="44"/>
      <c r="G3" s="44"/>
      <c r="H3" s="44"/>
      <c r="I3" s="44"/>
    </row>
    <row r="4" spans="1:9" s="1" customFormat="1" ht="28.35" customHeight="1" x14ac:dyDescent="0.25">
      <c r="A4" s="39" t="s">
        <v>2</v>
      </c>
      <c r="B4" s="40"/>
      <c r="C4" s="41"/>
      <c r="D4" s="41"/>
      <c r="E4" s="41"/>
      <c r="F4" s="41"/>
      <c r="G4" s="41"/>
      <c r="H4" s="41"/>
      <c r="I4" s="41"/>
    </row>
    <row r="5" spans="1:9" s="1" customFormat="1" ht="28.35" customHeight="1" x14ac:dyDescent="0.25">
      <c r="A5" s="39" t="s">
        <v>38</v>
      </c>
      <c r="B5" s="40"/>
      <c r="C5" s="41"/>
      <c r="D5" s="41"/>
      <c r="E5" s="41"/>
      <c r="F5" s="41"/>
      <c r="G5" s="41"/>
      <c r="H5" s="41"/>
      <c r="I5" s="41"/>
    </row>
    <row r="6" spans="1:9" s="1" customFormat="1" ht="28.35" customHeight="1" x14ac:dyDescent="0.25">
      <c r="A6" s="39" t="s">
        <v>3</v>
      </c>
      <c r="B6" s="40"/>
      <c r="C6" s="41"/>
      <c r="D6" s="41"/>
      <c r="E6" s="41"/>
      <c r="F6" s="41"/>
      <c r="G6" s="41"/>
      <c r="H6" s="41"/>
      <c r="I6" s="41"/>
    </row>
    <row r="7" spans="1:9" s="1" customFormat="1" ht="28.35" customHeight="1" x14ac:dyDescent="0.25">
      <c r="A7" s="39" t="s">
        <v>4</v>
      </c>
      <c r="B7" s="40"/>
      <c r="C7" s="41"/>
      <c r="D7" s="41"/>
      <c r="E7" s="41"/>
      <c r="F7" s="41"/>
      <c r="G7" s="41"/>
      <c r="H7" s="41"/>
      <c r="I7" s="41"/>
    </row>
    <row r="8" spans="1:9" s="1" customFormat="1" ht="28.35" customHeight="1" x14ac:dyDescent="0.25">
      <c r="A8" s="39" t="s">
        <v>51</v>
      </c>
      <c r="B8" s="40"/>
      <c r="C8" s="41"/>
      <c r="D8" s="41"/>
      <c r="E8" s="41"/>
      <c r="F8" s="41"/>
      <c r="G8" s="41"/>
      <c r="H8" s="41"/>
      <c r="I8" s="41"/>
    </row>
    <row r="9" spans="1:9" s="1" customFormat="1" ht="28.35" customHeight="1" x14ac:dyDescent="0.25">
      <c r="A9" s="39" t="s">
        <v>17</v>
      </c>
      <c r="B9" s="40"/>
      <c r="C9" s="41"/>
      <c r="D9" s="41"/>
      <c r="E9" s="41"/>
      <c r="F9" s="41"/>
      <c r="G9" s="41"/>
      <c r="H9" s="41"/>
      <c r="I9" s="41"/>
    </row>
    <row r="10" spans="1:9" s="1" customFormat="1" ht="30" customHeight="1" x14ac:dyDescent="0.25">
      <c r="A10" s="67"/>
      <c r="B10" s="45" t="s">
        <v>39</v>
      </c>
      <c r="C10" s="45" t="s">
        <v>23</v>
      </c>
      <c r="D10" s="45"/>
      <c r="E10" s="45" t="s">
        <v>46</v>
      </c>
      <c r="F10" s="45"/>
      <c r="G10" s="45"/>
      <c r="H10" s="45" t="s">
        <v>40</v>
      </c>
      <c r="I10" s="45"/>
    </row>
    <row r="11" spans="1:9" s="1" customFormat="1" ht="30" customHeight="1" x14ac:dyDescent="0.25">
      <c r="A11" s="67"/>
      <c r="B11" s="45"/>
      <c r="C11" s="45"/>
      <c r="D11" s="45"/>
      <c r="E11" s="21" t="s">
        <v>5</v>
      </c>
      <c r="F11" s="46" t="s">
        <v>6</v>
      </c>
      <c r="G11" s="46"/>
      <c r="H11" s="45"/>
      <c r="I11" s="45"/>
    </row>
    <row r="12" spans="1:9" s="1" customFormat="1" ht="36.75" customHeight="1" x14ac:dyDescent="0.25">
      <c r="A12" s="23">
        <v>1</v>
      </c>
      <c r="B12" s="20" t="s">
        <v>28</v>
      </c>
      <c r="C12" s="50" t="s">
        <v>67</v>
      </c>
      <c r="D12" s="50"/>
      <c r="E12" s="19">
        <v>1</v>
      </c>
      <c r="F12" s="38">
        <f>IF($C$3="","",IFERROR(VLOOKUP(C12,Veriler!$C$2:$E$53,IF($C$3=Veriler!$A$2,2,3),0),""))</f>
        <v>904</v>
      </c>
      <c r="G12" s="4" t="s">
        <v>7</v>
      </c>
      <c r="H12" s="8">
        <f t="shared" ref="H12:H19" si="0">IF(OR(E12="",F12=""),"",E12*F12)</f>
        <v>904</v>
      </c>
      <c r="I12" s="4" t="s">
        <v>7</v>
      </c>
    </row>
    <row r="13" spans="1:9" s="1" customFormat="1" ht="36.75" customHeight="1" x14ac:dyDescent="0.25">
      <c r="A13" s="23">
        <v>2</v>
      </c>
      <c r="B13" s="37"/>
      <c r="C13" s="50"/>
      <c r="D13" s="50"/>
      <c r="E13" s="19">
        <v>1</v>
      </c>
      <c r="F13" s="8" t="str">
        <f>IF($C$3="","",IFERROR(VLOOKUP(C13,Veriler!$C$2:$E$53,IF($C$3=Veriler!$A$2,2,3),0),""))</f>
        <v/>
      </c>
      <c r="G13" s="4" t="s">
        <v>7</v>
      </c>
      <c r="H13" s="8" t="str">
        <f t="shared" si="0"/>
        <v/>
      </c>
      <c r="I13" s="4" t="s">
        <v>7</v>
      </c>
    </row>
    <row r="14" spans="1:9" s="1" customFormat="1" ht="36.75" customHeight="1" x14ac:dyDescent="0.25">
      <c r="A14" s="23">
        <v>3</v>
      </c>
      <c r="B14" s="37"/>
      <c r="C14" s="50"/>
      <c r="D14" s="50"/>
      <c r="E14" s="19">
        <v>1</v>
      </c>
      <c r="F14" s="8" t="str">
        <f>IF($C$3="","",IFERROR(VLOOKUP(C14,Veriler!$C$2:$E$53,IF($C$3=Veriler!$A$2,2,3),0),""))</f>
        <v/>
      </c>
      <c r="G14" s="4" t="s">
        <v>7</v>
      </c>
      <c r="H14" s="8" t="str">
        <f t="shared" si="0"/>
        <v/>
      </c>
      <c r="I14" s="4" t="s">
        <v>7</v>
      </c>
    </row>
    <row r="15" spans="1:9" s="1" customFormat="1" ht="36.75" customHeight="1" x14ac:dyDescent="0.25">
      <c r="A15" s="23">
        <v>4</v>
      </c>
      <c r="B15" s="37"/>
      <c r="C15" s="50"/>
      <c r="D15" s="50"/>
      <c r="E15" s="19">
        <v>1</v>
      </c>
      <c r="F15" s="8" t="str">
        <f>IF($C$3="","",IFERROR(VLOOKUP(C15,Veriler!$C$2:$E$53,IF($C$3=Veriler!$A$2,2,3),0),""))</f>
        <v/>
      </c>
      <c r="G15" s="4" t="s">
        <v>7</v>
      </c>
      <c r="H15" s="8" t="str">
        <f t="shared" si="0"/>
        <v/>
      </c>
      <c r="I15" s="4" t="s">
        <v>7</v>
      </c>
    </row>
    <row r="16" spans="1:9" s="1" customFormat="1" ht="36.75" customHeight="1" x14ac:dyDescent="0.25">
      <c r="A16" s="23">
        <v>5</v>
      </c>
      <c r="B16" s="37"/>
      <c r="C16" s="50"/>
      <c r="D16" s="50"/>
      <c r="E16" s="19">
        <v>1</v>
      </c>
      <c r="F16" s="8" t="str">
        <f>IF($C$3="","",IFERROR(VLOOKUP(C16,Veriler!$C$2:$E$53,IF($C$3=Veriler!$A$2,2,3),0),""))</f>
        <v/>
      </c>
      <c r="G16" s="4" t="s">
        <v>7</v>
      </c>
      <c r="H16" s="8" t="str">
        <f t="shared" si="0"/>
        <v/>
      </c>
      <c r="I16" s="4" t="s">
        <v>7</v>
      </c>
    </row>
    <row r="17" spans="1:9" ht="36.75" customHeight="1" x14ac:dyDescent="0.25">
      <c r="A17" s="23">
        <v>6</v>
      </c>
      <c r="B17" s="37"/>
      <c r="C17" s="50"/>
      <c r="D17" s="50"/>
      <c r="E17" s="19">
        <v>1</v>
      </c>
      <c r="F17" s="8" t="str">
        <f>IF($C$3="","",IFERROR(VLOOKUP(C17,Veriler!$C$2:$E$53,IF($C$3=Veriler!$A$2,2,3),0),""))</f>
        <v/>
      </c>
      <c r="G17" s="4" t="s">
        <v>7</v>
      </c>
      <c r="H17" s="8" t="str">
        <f t="shared" si="0"/>
        <v/>
      </c>
      <c r="I17" s="4" t="s">
        <v>7</v>
      </c>
    </row>
    <row r="18" spans="1:9" ht="36.75" customHeight="1" x14ac:dyDescent="0.25">
      <c r="A18" s="23">
        <v>7</v>
      </c>
      <c r="B18" s="37"/>
      <c r="C18" s="50"/>
      <c r="D18" s="50"/>
      <c r="E18" s="19">
        <v>1</v>
      </c>
      <c r="F18" s="8" t="str">
        <f>IF($C$3="","",IFERROR(VLOOKUP(C18,Veriler!$C$2:$E$53,IF($C$3=Veriler!$A$2,2,3),0),""))</f>
        <v/>
      </c>
      <c r="G18" s="4" t="s">
        <v>7</v>
      </c>
      <c r="H18" s="8" t="str">
        <f t="shared" si="0"/>
        <v/>
      </c>
      <c r="I18" s="4" t="s">
        <v>7</v>
      </c>
    </row>
    <row r="19" spans="1:9" ht="36.75" customHeight="1" x14ac:dyDescent="0.25">
      <c r="A19" s="23">
        <v>8</v>
      </c>
      <c r="B19" s="37"/>
      <c r="C19" s="50"/>
      <c r="D19" s="50"/>
      <c r="E19" s="19">
        <v>1</v>
      </c>
      <c r="F19" s="8" t="str">
        <f>IF($C$3="","",IFERROR(VLOOKUP(C19,Veriler!$C$2:$E$53,IF($C$3=Veriler!$A$2,2,3),0),""))</f>
        <v/>
      </c>
      <c r="G19" s="4" t="s">
        <v>7</v>
      </c>
      <c r="H19" s="8" t="str">
        <f t="shared" si="0"/>
        <v/>
      </c>
      <c r="I19" s="4" t="s">
        <v>7</v>
      </c>
    </row>
    <row r="20" spans="1:9" ht="22.7" customHeight="1" x14ac:dyDescent="0.25">
      <c r="A20" s="51" t="str">
        <f>CONCATENATE("* Bu formda yer alan muayene ücretleri ",IF(C3="","...",C3)," yılında yapılan muayene başvuruları için geçerlidir. Lütfen başvuru yılının doğruluğundan emin olunuz.")</f>
        <v>* Bu formda yer alan muayene ücretleri 2026 yılında yapılan muayene başvuruları için geçerlidir. Lütfen başvuru yılının doğruluğundan emin olunuz.</v>
      </c>
      <c r="B20" s="52"/>
      <c r="C20" s="52"/>
      <c r="D20" s="53"/>
      <c r="E20" s="60" t="s">
        <v>8</v>
      </c>
      <c r="F20" s="60"/>
      <c r="G20" s="60"/>
      <c r="H20" s="8">
        <f>IF(F12="","",SUM(H12:H19))</f>
        <v>904</v>
      </c>
      <c r="I20" s="4" t="s">
        <v>7</v>
      </c>
    </row>
    <row r="21" spans="1:9" ht="22.7" customHeight="1" x14ac:dyDescent="0.25">
      <c r="A21" s="54"/>
      <c r="B21" s="55"/>
      <c r="C21" s="55"/>
      <c r="D21" s="56"/>
      <c r="E21" s="60" t="s">
        <v>50</v>
      </c>
      <c r="F21" s="60"/>
      <c r="G21" s="60"/>
      <c r="H21" s="8">
        <f>IF(H20="","",H20*0.2)</f>
        <v>180.8</v>
      </c>
      <c r="I21" s="4" t="s">
        <v>7</v>
      </c>
    </row>
    <row r="22" spans="1:9" ht="22.7" customHeight="1" x14ac:dyDescent="0.25">
      <c r="A22" s="57"/>
      <c r="B22" s="58"/>
      <c r="C22" s="58"/>
      <c r="D22" s="59"/>
      <c r="E22" s="61" t="s">
        <v>42</v>
      </c>
      <c r="F22" s="62"/>
      <c r="G22" s="63"/>
      <c r="H22" s="9">
        <f>IF(H20="","",H20+H21)</f>
        <v>1084.8</v>
      </c>
      <c r="I22" s="22" t="s">
        <v>7</v>
      </c>
    </row>
    <row r="23" spans="1:9" ht="27.6" customHeight="1" x14ac:dyDescent="0.25">
      <c r="A23" s="64" t="s">
        <v>9</v>
      </c>
      <c r="B23" s="64"/>
      <c r="C23" s="64"/>
      <c r="D23" s="65">
        <v>46222</v>
      </c>
      <c r="E23" s="65"/>
      <c r="F23" s="65"/>
      <c r="G23" s="65"/>
      <c r="H23" s="65"/>
      <c r="I23" s="65"/>
    </row>
    <row r="24" spans="1:9" ht="28.35" customHeight="1" x14ac:dyDescent="0.25">
      <c r="A24" s="66" t="s">
        <v>10</v>
      </c>
      <c r="B24" s="66"/>
      <c r="C24" s="66"/>
      <c r="D24" s="66" t="s">
        <v>11</v>
      </c>
      <c r="E24" s="66"/>
      <c r="F24" s="66"/>
      <c r="G24" s="66" t="s">
        <v>12</v>
      </c>
      <c r="H24" s="66"/>
      <c r="I24" s="66"/>
    </row>
    <row r="25" spans="1:9" ht="28.35" customHeight="1" x14ac:dyDescent="0.25">
      <c r="A25" s="47" t="s">
        <v>41</v>
      </c>
      <c r="B25" s="47"/>
      <c r="C25" s="47"/>
      <c r="D25" s="48" t="s">
        <v>92</v>
      </c>
      <c r="E25" s="48"/>
      <c r="F25" s="48"/>
      <c r="G25" s="49"/>
      <c r="H25" s="49"/>
      <c r="I25" s="49"/>
    </row>
  </sheetData>
  <sheetProtection algorithmName="SHA-512" hashValue="83AysN1uJNiNeY9unArN5i9PhYQex/Alex22tB5qlVDmm0nQCR5Lx5XJbZeNnVD8u6j6LPF5VCi3MDnHJ5A1HQ==" saltValue="FX03U4TMBkle+6iRo1QBeQ==" spinCount="100000" sheet="1" selectLockedCells="1"/>
  <mergeCells count="43">
    <mergeCell ref="A8:B8"/>
    <mergeCell ref="C8:I8"/>
    <mergeCell ref="A23:C23"/>
    <mergeCell ref="D23:I23"/>
    <mergeCell ref="A24:C24"/>
    <mergeCell ref="D24:F24"/>
    <mergeCell ref="G24:I24"/>
    <mergeCell ref="C12:D12"/>
    <mergeCell ref="C13:D13"/>
    <mergeCell ref="C14:D14"/>
    <mergeCell ref="C15:D15"/>
    <mergeCell ref="C16:D16"/>
    <mergeCell ref="C17:D17"/>
    <mergeCell ref="A9:B9"/>
    <mergeCell ref="C9:I9"/>
    <mergeCell ref="A10:A11"/>
    <mergeCell ref="A25:C25"/>
    <mergeCell ref="D25:F25"/>
    <mergeCell ref="G25:I25"/>
    <mergeCell ref="C18:D18"/>
    <mergeCell ref="C19:D19"/>
    <mergeCell ref="A20:D22"/>
    <mergeCell ref="E20:G20"/>
    <mergeCell ref="E21:G21"/>
    <mergeCell ref="E22:G22"/>
    <mergeCell ref="B10:B11"/>
    <mergeCell ref="C10:D11"/>
    <mergeCell ref="E10:G10"/>
    <mergeCell ref="H10:I11"/>
    <mergeCell ref="F11:G11"/>
    <mergeCell ref="A5:B5"/>
    <mergeCell ref="C5:I5"/>
    <mergeCell ref="A6:B6"/>
    <mergeCell ref="C6:I6"/>
    <mergeCell ref="A7:B7"/>
    <mergeCell ref="C7:I7"/>
    <mergeCell ref="A4:B4"/>
    <mergeCell ref="C4:I4"/>
    <mergeCell ref="A1:I1"/>
    <mergeCell ref="A2:B2"/>
    <mergeCell ref="C2:I2"/>
    <mergeCell ref="A3:B3"/>
    <mergeCell ref="C3:I3"/>
  </mergeCells>
  <dataValidations count="10">
    <dataValidation type="list" allowBlank="1" showInputMessage="1" showErrorMessage="1" sqref="C12:D12" xr:uid="{00000000-0002-0000-0000-000000000000}">
      <formula1>INDIRECT($B$12)</formula1>
    </dataValidation>
    <dataValidation type="list" allowBlank="1" showInputMessage="1" showErrorMessage="1" sqref="U13" xr:uid="{00000000-0002-0000-0000-000001000000}">
      <formula1>INDIRECT($U$12)</formula1>
    </dataValidation>
    <dataValidation type="list" allowBlank="1" showInputMessage="1" showErrorMessage="1" sqref="U12" xr:uid="{00000000-0002-0000-0000-000002000000}">
      <formula1>X</formula1>
    </dataValidation>
    <dataValidation type="list" allowBlank="1" showInputMessage="1" showErrorMessage="1" sqref="C13:D13" xr:uid="{00000000-0002-0000-0000-000003000000}">
      <formula1>INDIRECT($B$13)</formula1>
    </dataValidation>
    <dataValidation type="list" allowBlank="1" showInputMessage="1" showErrorMessage="1" sqref="C14:D14" xr:uid="{00000000-0002-0000-0000-000004000000}">
      <formula1>INDIRECT($B$14)</formula1>
    </dataValidation>
    <dataValidation type="list" allowBlank="1" showInputMessage="1" showErrorMessage="1" sqref="C15:D15" xr:uid="{00000000-0002-0000-0000-000005000000}">
      <formula1>INDIRECT($B$15)</formula1>
    </dataValidation>
    <dataValidation type="list" allowBlank="1" showInputMessage="1" showErrorMessage="1" sqref="C16:D16" xr:uid="{00000000-0002-0000-0000-000006000000}">
      <formula1>INDIRECT($B$16)</formula1>
    </dataValidation>
    <dataValidation type="list" allowBlank="1" showInputMessage="1" showErrorMessage="1" sqref="C17:D17" xr:uid="{00000000-0002-0000-0000-000007000000}">
      <formula1>INDIRECT($B$17)</formula1>
    </dataValidation>
    <dataValidation type="list" allowBlank="1" showInputMessage="1" showErrorMessage="1" sqref="C18:D18" xr:uid="{00000000-0002-0000-0000-000008000000}">
      <formula1>INDIRECT($B$18)</formula1>
    </dataValidation>
    <dataValidation type="list" allowBlank="1" showInputMessage="1" showErrorMessage="1" sqref="C19:D19" xr:uid="{00000000-0002-0000-0000-000009000000}">
      <formula1>INDIRECT($B$19)</formula1>
    </dataValidation>
  </dataValidations>
  <printOptions horizontalCentered="1"/>
  <pageMargins left="0.39370078740157499" right="0.39370078740157499" top="1.35433070866142" bottom="0.59055118110236204" header="0.118110236220472" footer="0.196850393700787"/>
  <pageSetup paperSize="9" scale="85" fitToHeight="0" orientation="portrait" r:id="rId1"/>
  <headerFooter>
    <oddHeader>&amp;C&amp;G
&amp;B&amp;"Times New Roman"&amp;10&amp;K000000MUAYENE GÖZETİM MERKEZİ BAŞKANLIĞI
ÖLÇÜ ALETLERİ FATURA DETAYI FORMU</oddHeader>
    <oddFooter>&amp;C&amp;"Times New Roman,Normal"Doküman Kodu: 15.01.39.FR.009         Yayın Tarihi: 26.03.2020         Revizyon Tarih/No: 27.01.2026/15
     Bu dokümanın güncelliği, elektronik ortamda TSE Doküman Yönetim Sisteminden takip edilmelidir.&amp;R&amp;P/&amp;N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A000000}">
          <x14:formula1>
            <xm:f>Veriler!$A$2:$A$3</xm:f>
          </x14:formula1>
          <xm:sqref>C3:I3</xm:sqref>
        </x14:dataValidation>
        <x14:dataValidation type="list" allowBlank="1" showInputMessage="1" showErrorMessage="1" xr:uid="{00000000-0002-0000-0000-00000B000000}">
          <x14:formula1>
            <xm:f>Veriler!$G$2:$G$12</xm:f>
          </x14:formula1>
          <xm:sqref>B12:B19</xm:sqref>
        </x14:dataValidation>
        <x14:dataValidation type="date" allowBlank="1" showInputMessage="1" showErrorMessage="1" xr:uid="{00000000-0002-0000-0000-00000C000000}">
          <x14:formula1>
            <xm:f>Veriler!A11</xm:f>
          </x14:formula1>
          <x14:formula2>
            <xm:f>Veriler!A12</xm:f>
          </x14:formula2>
          <xm:sqref>D23:I23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085-958B-4B33-A755-B52797A8BC6B}">
  <dimension ref="A1:G71"/>
  <sheetViews>
    <sheetView zoomScale="70" zoomScaleNormal="70" workbookViewId="0">
      <selection activeCell="A2" sqref="A2"/>
    </sheetView>
  </sheetViews>
  <sheetFormatPr defaultColWidth="8.85546875" defaultRowHeight="15" x14ac:dyDescent="0.25"/>
  <cols>
    <col min="1" max="1" width="16.85546875" style="7" customWidth="1"/>
    <col min="2" max="2" width="30.85546875" style="7" bestFit="1" customWidth="1"/>
    <col min="3" max="3" width="63.5703125" style="7" bestFit="1" customWidth="1"/>
    <col min="4" max="4" width="10.42578125" style="14" bestFit="1" customWidth="1"/>
    <col min="5" max="5" width="10.42578125" style="14" customWidth="1"/>
    <col min="6" max="6" width="10.42578125" style="18" customWidth="1"/>
    <col min="7" max="7" width="38.5703125" style="7" bestFit="1" customWidth="1"/>
    <col min="8" max="16384" width="8.85546875" style="7"/>
  </cols>
  <sheetData>
    <row r="1" spans="1:7" ht="24.95" customHeight="1" x14ac:dyDescent="0.25">
      <c r="A1" s="6" t="s">
        <v>47</v>
      </c>
      <c r="B1" s="10" t="s">
        <v>36</v>
      </c>
      <c r="C1" s="11" t="s">
        <v>37</v>
      </c>
      <c r="D1" s="11" t="s">
        <v>90</v>
      </c>
      <c r="E1" s="11" t="s">
        <v>91</v>
      </c>
      <c r="G1" s="6" t="s">
        <v>25</v>
      </c>
    </row>
    <row r="2" spans="1:7" ht="24.95" customHeight="1" x14ac:dyDescent="0.25">
      <c r="A2" s="17">
        <v>2025</v>
      </c>
      <c r="B2" s="71" t="s">
        <v>14</v>
      </c>
      <c r="C2" s="24" t="s">
        <v>67</v>
      </c>
      <c r="D2" s="25">
        <v>720</v>
      </c>
      <c r="E2" s="25">
        <v>904</v>
      </c>
      <c r="F2" s="36">
        <f>(E2-D2)/D2</f>
        <v>0.25555555555555554</v>
      </c>
      <c r="G2" s="5" t="s">
        <v>28</v>
      </c>
    </row>
    <row r="3" spans="1:7" ht="24.95" customHeight="1" x14ac:dyDescent="0.25">
      <c r="A3" s="17">
        <v>2026</v>
      </c>
      <c r="B3" s="72"/>
      <c r="C3" s="24" t="s">
        <v>68</v>
      </c>
      <c r="D3" s="25">
        <v>1080</v>
      </c>
      <c r="E3" s="25">
        <v>1356</v>
      </c>
      <c r="F3" s="36">
        <f t="shared" ref="F3:F53" si="0">(E3-D3)/D3</f>
        <v>0.25555555555555554</v>
      </c>
      <c r="G3" s="5" t="s">
        <v>26</v>
      </c>
    </row>
    <row r="4" spans="1:7" ht="24.95" customHeight="1" x14ac:dyDescent="0.25">
      <c r="B4" s="72"/>
      <c r="C4" s="24" t="s">
        <v>69</v>
      </c>
      <c r="D4" s="25">
        <v>1080</v>
      </c>
      <c r="E4" s="25">
        <v>1356</v>
      </c>
      <c r="F4" s="36">
        <f t="shared" si="0"/>
        <v>0.25555555555555554</v>
      </c>
      <c r="G4" s="5" t="s">
        <v>27</v>
      </c>
    </row>
    <row r="5" spans="1:7" ht="24.95" customHeight="1" x14ac:dyDescent="0.25">
      <c r="B5" s="72"/>
      <c r="C5" s="24" t="s">
        <v>70</v>
      </c>
      <c r="D5" s="25">
        <v>1620</v>
      </c>
      <c r="E5" s="25">
        <v>2034</v>
      </c>
      <c r="F5" s="36">
        <f t="shared" si="0"/>
        <v>0.25555555555555554</v>
      </c>
      <c r="G5" s="3" t="s">
        <v>30</v>
      </c>
    </row>
    <row r="6" spans="1:7" ht="24.95" customHeight="1" x14ac:dyDescent="0.25">
      <c r="B6" s="72"/>
      <c r="C6" s="24" t="s">
        <v>65</v>
      </c>
      <c r="D6" s="25">
        <v>1541</v>
      </c>
      <c r="E6" s="25">
        <v>1934</v>
      </c>
      <c r="F6" s="36">
        <f t="shared" si="0"/>
        <v>0.25502920181700195</v>
      </c>
      <c r="G6" s="3" t="s">
        <v>31</v>
      </c>
    </row>
    <row r="7" spans="1:7" ht="24.95" customHeight="1" x14ac:dyDescent="0.25">
      <c r="B7" s="73"/>
      <c r="C7" s="24" t="s">
        <v>66</v>
      </c>
      <c r="D7" s="25">
        <v>2311.5</v>
      </c>
      <c r="E7" s="25">
        <v>2901</v>
      </c>
      <c r="F7" s="36">
        <f t="shared" si="0"/>
        <v>0.25502920181700195</v>
      </c>
      <c r="G7" s="3" t="s">
        <v>32</v>
      </c>
    </row>
    <row r="8" spans="1:7" ht="24.95" customHeight="1" x14ac:dyDescent="0.25">
      <c r="A8" s="7" t="s">
        <v>49</v>
      </c>
      <c r="B8" s="12"/>
      <c r="C8" s="26"/>
      <c r="D8" s="25"/>
      <c r="E8" s="25"/>
      <c r="F8" s="36"/>
      <c r="G8" s="3" t="s">
        <v>33</v>
      </c>
    </row>
    <row r="9" spans="1:7" ht="24.95" customHeight="1" x14ac:dyDescent="0.25">
      <c r="B9" s="71" t="s">
        <v>13</v>
      </c>
      <c r="C9" s="24" t="s">
        <v>71</v>
      </c>
      <c r="D9" s="25">
        <v>7197</v>
      </c>
      <c r="E9" s="25">
        <v>9032</v>
      </c>
      <c r="F9" s="36">
        <f t="shared" si="0"/>
        <v>0.25496734750590522</v>
      </c>
      <c r="G9" s="3" t="s">
        <v>34</v>
      </c>
    </row>
    <row r="10" spans="1:7" ht="24.95" customHeight="1" x14ac:dyDescent="0.25">
      <c r="A10" s="16" t="s">
        <v>48</v>
      </c>
      <c r="B10" s="72"/>
      <c r="C10" s="24" t="s">
        <v>76</v>
      </c>
      <c r="D10" s="25">
        <v>10795.5</v>
      </c>
      <c r="E10" s="25">
        <v>13548</v>
      </c>
      <c r="F10" s="36">
        <f t="shared" si="0"/>
        <v>0.25496734750590522</v>
      </c>
      <c r="G10" s="3" t="s">
        <v>44</v>
      </c>
    </row>
    <row r="11" spans="1:7" ht="24.95" customHeight="1" x14ac:dyDescent="0.25">
      <c r="A11" s="15">
        <v>46023</v>
      </c>
      <c r="B11" s="72"/>
      <c r="C11" s="24" t="s">
        <v>72</v>
      </c>
      <c r="D11" s="25">
        <v>5397.75</v>
      </c>
      <c r="E11" s="25">
        <v>6774</v>
      </c>
      <c r="F11" s="36">
        <f t="shared" si="0"/>
        <v>0.25496734750590522</v>
      </c>
      <c r="G11" s="3" t="s">
        <v>43</v>
      </c>
    </row>
    <row r="12" spans="1:7" ht="24.95" customHeight="1" x14ac:dyDescent="0.25">
      <c r="A12" s="15">
        <v>46418</v>
      </c>
      <c r="B12" s="72"/>
      <c r="C12" s="24" t="s">
        <v>75</v>
      </c>
      <c r="D12" s="25">
        <v>11515</v>
      </c>
      <c r="E12" s="25">
        <v>14451</v>
      </c>
      <c r="F12" s="36">
        <f t="shared" si="0"/>
        <v>0.25497177594442033</v>
      </c>
      <c r="G12" s="33" t="s">
        <v>78</v>
      </c>
    </row>
    <row r="13" spans="1:7" ht="24.95" customHeight="1" x14ac:dyDescent="0.25">
      <c r="B13" s="72"/>
      <c r="C13" s="24" t="s">
        <v>74</v>
      </c>
      <c r="D13" s="25">
        <v>17272.5</v>
      </c>
      <c r="E13" s="25">
        <v>21676.5</v>
      </c>
      <c r="F13" s="36">
        <f t="shared" si="0"/>
        <v>0.25497177594442033</v>
      </c>
    </row>
    <row r="14" spans="1:7" ht="24.95" customHeight="1" x14ac:dyDescent="0.25">
      <c r="B14" s="73"/>
      <c r="C14" s="24" t="s">
        <v>73</v>
      </c>
      <c r="D14" s="25">
        <v>8636.25</v>
      </c>
      <c r="E14" s="25">
        <v>10838.25</v>
      </c>
      <c r="F14" s="36">
        <f t="shared" si="0"/>
        <v>0.25497177594442033</v>
      </c>
    </row>
    <row r="15" spans="1:7" ht="24.95" customHeight="1" x14ac:dyDescent="0.25">
      <c r="B15" s="12"/>
      <c r="C15" s="26"/>
      <c r="D15" s="25"/>
      <c r="E15" s="25"/>
      <c r="F15" s="36"/>
    </row>
    <row r="16" spans="1:7" ht="24.95" customHeight="1" x14ac:dyDescent="0.25">
      <c r="B16" s="71" t="s">
        <v>15</v>
      </c>
      <c r="C16" s="27" t="s">
        <v>52</v>
      </c>
      <c r="D16" s="25">
        <v>1080</v>
      </c>
      <c r="E16" s="25">
        <v>1356</v>
      </c>
      <c r="F16" s="36">
        <f t="shared" si="0"/>
        <v>0.25555555555555554</v>
      </c>
    </row>
    <row r="17" spans="2:6" ht="24.95" customHeight="1" x14ac:dyDescent="0.25">
      <c r="B17" s="73"/>
      <c r="C17" s="27" t="s">
        <v>53</v>
      </c>
      <c r="D17" s="25">
        <v>1620</v>
      </c>
      <c r="E17" s="25">
        <v>2034</v>
      </c>
      <c r="F17" s="36">
        <f t="shared" si="0"/>
        <v>0.25555555555555554</v>
      </c>
    </row>
    <row r="18" spans="2:6" ht="24.95" customHeight="1" x14ac:dyDescent="0.25">
      <c r="B18" s="12"/>
      <c r="C18" s="26"/>
      <c r="D18" s="25"/>
      <c r="E18" s="25"/>
      <c r="F18" s="36"/>
    </row>
    <row r="19" spans="2:6" ht="24.95" customHeight="1" x14ac:dyDescent="0.25">
      <c r="B19" s="68" t="s">
        <v>16</v>
      </c>
      <c r="C19" s="24" t="s">
        <v>84</v>
      </c>
      <c r="D19" s="25">
        <v>10795</v>
      </c>
      <c r="E19" s="25">
        <v>13547</v>
      </c>
      <c r="F19" s="36">
        <f t="shared" si="0"/>
        <v>0.25493283927744326</v>
      </c>
    </row>
    <row r="20" spans="2:6" ht="24.95" customHeight="1" x14ac:dyDescent="0.25">
      <c r="B20" s="69"/>
      <c r="C20" s="24" t="s">
        <v>85</v>
      </c>
      <c r="D20" s="25">
        <v>16192.5</v>
      </c>
      <c r="E20" s="25">
        <v>20320.5</v>
      </c>
      <c r="F20" s="36">
        <f t="shared" si="0"/>
        <v>0.25493283927744326</v>
      </c>
    </row>
    <row r="21" spans="2:6" ht="24.95" customHeight="1" x14ac:dyDescent="0.25">
      <c r="B21" s="69"/>
      <c r="C21" s="24" t="s">
        <v>86</v>
      </c>
      <c r="D21" s="25">
        <v>1541</v>
      </c>
      <c r="E21" s="25">
        <v>1934</v>
      </c>
      <c r="F21" s="36">
        <f t="shared" si="0"/>
        <v>0.25502920181700195</v>
      </c>
    </row>
    <row r="22" spans="2:6" ht="24.95" customHeight="1" x14ac:dyDescent="0.25">
      <c r="B22" s="69"/>
      <c r="C22" s="24" t="s">
        <v>87</v>
      </c>
      <c r="D22" s="25">
        <v>2311.5</v>
      </c>
      <c r="E22" s="25">
        <v>2901</v>
      </c>
      <c r="F22" s="36">
        <f t="shared" si="0"/>
        <v>0.25502920181700195</v>
      </c>
    </row>
    <row r="23" spans="2:6" ht="24.95" customHeight="1" x14ac:dyDescent="0.25">
      <c r="B23" s="69"/>
      <c r="C23" s="24" t="s">
        <v>88</v>
      </c>
      <c r="D23" s="25">
        <v>1080</v>
      </c>
      <c r="E23" s="25">
        <v>1356</v>
      </c>
      <c r="F23" s="36">
        <f t="shared" si="0"/>
        <v>0.25555555555555554</v>
      </c>
    </row>
    <row r="24" spans="2:6" ht="24.95" customHeight="1" x14ac:dyDescent="0.25">
      <c r="B24" s="69"/>
      <c r="C24" s="24" t="s">
        <v>89</v>
      </c>
      <c r="D24" s="25">
        <v>1620</v>
      </c>
      <c r="E24" s="25">
        <v>2034</v>
      </c>
      <c r="F24" s="36">
        <f t="shared" si="0"/>
        <v>0.25555555555555554</v>
      </c>
    </row>
    <row r="25" spans="2:6" ht="24.95" customHeight="1" x14ac:dyDescent="0.25">
      <c r="B25" s="69"/>
      <c r="C25" s="24" t="s">
        <v>67</v>
      </c>
      <c r="D25" s="25">
        <v>720</v>
      </c>
      <c r="E25" s="25">
        <v>904</v>
      </c>
      <c r="F25" s="36">
        <f t="shared" si="0"/>
        <v>0.25555555555555554</v>
      </c>
    </row>
    <row r="26" spans="2:6" ht="24.95" customHeight="1" x14ac:dyDescent="0.25">
      <c r="B26" s="70"/>
      <c r="C26" s="24" t="s">
        <v>68</v>
      </c>
      <c r="D26" s="25">
        <v>1080</v>
      </c>
      <c r="E26" s="25">
        <v>1356</v>
      </c>
      <c r="F26" s="36">
        <f t="shared" si="0"/>
        <v>0.25555555555555554</v>
      </c>
    </row>
    <row r="27" spans="2:6" ht="24.95" customHeight="1" x14ac:dyDescent="0.25">
      <c r="B27" s="12"/>
      <c r="C27" s="26"/>
      <c r="D27" s="25"/>
      <c r="E27" s="25"/>
      <c r="F27" s="36"/>
    </row>
    <row r="28" spans="2:6" ht="24.95" customHeight="1" x14ac:dyDescent="0.25">
      <c r="B28" s="71" t="s">
        <v>19</v>
      </c>
      <c r="C28" s="28" t="s">
        <v>54</v>
      </c>
      <c r="D28" s="25">
        <v>72</v>
      </c>
      <c r="E28" s="25">
        <v>91</v>
      </c>
      <c r="F28" s="36">
        <f t="shared" si="0"/>
        <v>0.2638888888888889</v>
      </c>
    </row>
    <row r="29" spans="2:6" ht="24.95" customHeight="1" x14ac:dyDescent="0.25">
      <c r="B29" s="73"/>
      <c r="C29" s="28" t="s">
        <v>55</v>
      </c>
      <c r="D29" s="25">
        <v>216</v>
      </c>
      <c r="E29" s="25">
        <v>272</v>
      </c>
      <c r="F29" s="36">
        <f t="shared" si="0"/>
        <v>0.25925925925925924</v>
      </c>
    </row>
    <row r="30" spans="2:6" ht="24.95" customHeight="1" x14ac:dyDescent="0.25">
      <c r="B30" s="12"/>
      <c r="C30" s="26"/>
      <c r="D30" s="25"/>
      <c r="E30" s="25"/>
      <c r="F30" s="36"/>
    </row>
    <row r="31" spans="2:6" ht="24.95" customHeight="1" x14ac:dyDescent="0.25">
      <c r="B31" s="68" t="s">
        <v>20</v>
      </c>
      <c r="C31" s="28" t="s">
        <v>56</v>
      </c>
      <c r="D31" s="25">
        <v>7197</v>
      </c>
      <c r="E31" s="25">
        <v>9032</v>
      </c>
      <c r="F31" s="36">
        <f t="shared" si="0"/>
        <v>0.25496734750590522</v>
      </c>
    </row>
    <row r="32" spans="2:6" ht="24.95" customHeight="1" x14ac:dyDescent="0.25">
      <c r="B32" s="69"/>
      <c r="C32" s="28" t="s">
        <v>57</v>
      </c>
      <c r="D32" s="25">
        <v>10795.5</v>
      </c>
      <c r="E32" s="25">
        <v>13548</v>
      </c>
      <c r="F32" s="36">
        <f t="shared" si="0"/>
        <v>0.25496734750590522</v>
      </c>
    </row>
    <row r="33" spans="1:7" ht="24.95" customHeight="1" x14ac:dyDescent="0.25">
      <c r="B33" s="70"/>
      <c r="C33" s="28" t="s">
        <v>77</v>
      </c>
      <c r="D33" s="25">
        <v>5397.75</v>
      </c>
      <c r="E33" s="25">
        <v>6774</v>
      </c>
      <c r="F33" s="36">
        <f t="shared" si="0"/>
        <v>0.25496734750590522</v>
      </c>
    </row>
    <row r="34" spans="1:7" ht="24.95" customHeight="1" x14ac:dyDescent="0.25">
      <c r="B34" s="12"/>
      <c r="C34" s="29"/>
      <c r="D34" s="25"/>
      <c r="E34" s="25"/>
      <c r="F34" s="36"/>
    </row>
    <row r="35" spans="1:7" ht="24.95" customHeight="1" x14ac:dyDescent="0.25">
      <c r="B35" s="13" t="s">
        <v>21</v>
      </c>
      <c r="C35" s="28" t="s">
        <v>21</v>
      </c>
      <c r="D35" s="25">
        <v>1440</v>
      </c>
      <c r="E35" s="25">
        <v>1808</v>
      </c>
      <c r="F35" s="36">
        <f t="shared" si="0"/>
        <v>0.25555555555555554</v>
      </c>
    </row>
    <row r="36" spans="1:7" s="18" customFormat="1" ht="24.95" customHeight="1" x14ac:dyDescent="0.25">
      <c r="A36" s="7"/>
      <c r="B36" s="12"/>
      <c r="C36" s="26"/>
      <c r="D36" s="25"/>
      <c r="E36" s="25"/>
      <c r="F36" s="36"/>
      <c r="G36" s="7"/>
    </row>
    <row r="37" spans="1:7" s="18" customFormat="1" ht="24.95" customHeight="1" x14ac:dyDescent="0.25">
      <c r="A37" s="7"/>
      <c r="B37" s="13" t="s">
        <v>18</v>
      </c>
      <c r="C37" s="28" t="s">
        <v>18</v>
      </c>
      <c r="D37" s="25">
        <v>139</v>
      </c>
      <c r="E37" s="25">
        <v>175</v>
      </c>
      <c r="F37" s="36">
        <f t="shared" si="0"/>
        <v>0.25899280575539568</v>
      </c>
      <c r="G37" s="7"/>
    </row>
    <row r="38" spans="1:7" s="18" customFormat="1" ht="24.95" customHeight="1" x14ac:dyDescent="0.25">
      <c r="A38" s="7"/>
      <c r="B38" s="12"/>
      <c r="C38" s="28"/>
      <c r="D38" s="25"/>
      <c r="E38" s="25"/>
      <c r="F38" s="36"/>
      <c r="G38" s="7"/>
    </row>
    <row r="39" spans="1:7" s="18" customFormat="1" ht="24.95" customHeight="1" x14ac:dyDescent="0.25">
      <c r="A39" s="7"/>
      <c r="B39" s="68" t="s">
        <v>22</v>
      </c>
      <c r="C39" s="28" t="s">
        <v>58</v>
      </c>
      <c r="D39" s="25">
        <v>1080</v>
      </c>
      <c r="E39" s="25">
        <v>1356</v>
      </c>
      <c r="F39" s="36">
        <f t="shared" si="0"/>
        <v>0.25555555555555554</v>
      </c>
      <c r="G39" s="7"/>
    </row>
    <row r="40" spans="1:7" s="18" customFormat="1" ht="24.95" customHeight="1" x14ac:dyDescent="0.25">
      <c r="A40" s="7"/>
      <c r="B40" s="70"/>
      <c r="C40" s="28" t="s">
        <v>59</v>
      </c>
      <c r="D40" s="25">
        <v>1620</v>
      </c>
      <c r="E40" s="25">
        <v>2034</v>
      </c>
      <c r="F40" s="36">
        <f t="shared" si="0"/>
        <v>0.25555555555555554</v>
      </c>
      <c r="G40" s="7"/>
    </row>
    <row r="41" spans="1:7" s="18" customFormat="1" ht="24.95" customHeight="1" x14ac:dyDescent="0.25">
      <c r="A41" s="7"/>
      <c r="B41" s="32"/>
      <c r="C41" s="28"/>
      <c r="D41" s="25"/>
      <c r="E41" s="25"/>
      <c r="F41" s="36"/>
      <c r="G41" s="7"/>
    </row>
    <row r="42" spans="1:7" s="18" customFormat="1" ht="24.95" customHeight="1" x14ac:dyDescent="0.25">
      <c r="A42" s="7"/>
      <c r="B42" s="71" t="s">
        <v>83</v>
      </c>
      <c r="C42" s="34" t="s">
        <v>79</v>
      </c>
      <c r="D42" s="25">
        <v>8023</v>
      </c>
      <c r="E42" s="25">
        <v>10069</v>
      </c>
      <c r="F42" s="36">
        <f t="shared" si="0"/>
        <v>0.25501682662345754</v>
      </c>
      <c r="G42" s="7"/>
    </row>
    <row r="43" spans="1:7" s="18" customFormat="1" ht="24.95" customHeight="1" x14ac:dyDescent="0.25">
      <c r="A43" s="7"/>
      <c r="B43" s="72"/>
      <c r="C43" s="34" t="s">
        <v>80</v>
      </c>
      <c r="D43" s="25">
        <v>8023</v>
      </c>
      <c r="E43" s="25">
        <v>10069</v>
      </c>
      <c r="F43" s="36">
        <f t="shared" si="0"/>
        <v>0.25501682662345754</v>
      </c>
      <c r="G43" s="7"/>
    </row>
    <row r="44" spans="1:7" s="18" customFormat="1" ht="24.95" customHeight="1" x14ac:dyDescent="0.25">
      <c r="A44" s="7"/>
      <c r="B44" s="72"/>
      <c r="C44" s="34" t="s">
        <v>81</v>
      </c>
      <c r="D44" s="25">
        <v>3023</v>
      </c>
      <c r="E44" s="25">
        <v>3794</v>
      </c>
      <c r="F44" s="36">
        <f t="shared" si="0"/>
        <v>0.25504465762487594</v>
      </c>
      <c r="G44" s="7"/>
    </row>
    <row r="45" spans="1:7" s="18" customFormat="1" ht="24.95" customHeight="1" x14ac:dyDescent="0.25">
      <c r="A45" s="7"/>
      <c r="B45" s="73"/>
      <c r="C45" s="34" t="s">
        <v>82</v>
      </c>
      <c r="D45" s="25">
        <v>8023</v>
      </c>
      <c r="E45" s="25">
        <v>10069</v>
      </c>
      <c r="F45" s="36">
        <f t="shared" si="0"/>
        <v>0.25501682662345754</v>
      </c>
      <c r="G45" s="7"/>
    </row>
    <row r="46" spans="1:7" s="18" customFormat="1" ht="24.95" customHeight="1" x14ac:dyDescent="0.25">
      <c r="A46" s="7"/>
      <c r="B46" s="35"/>
      <c r="C46" s="34"/>
      <c r="D46" s="25"/>
      <c r="E46" s="25"/>
      <c r="F46" s="36"/>
      <c r="G46" s="7"/>
    </row>
    <row r="47" spans="1:7" s="18" customFormat="1" ht="24.95" customHeight="1" x14ac:dyDescent="0.25">
      <c r="A47" s="7"/>
      <c r="B47" s="68" t="s">
        <v>35</v>
      </c>
      <c r="C47" s="28" t="s">
        <v>29</v>
      </c>
      <c r="D47" s="25">
        <v>720</v>
      </c>
      <c r="E47" s="25">
        <v>904</v>
      </c>
      <c r="F47" s="36">
        <f t="shared" si="0"/>
        <v>0.25555555555555554</v>
      </c>
      <c r="G47" s="7"/>
    </row>
    <row r="48" spans="1:7" s="18" customFormat="1" ht="24.95" customHeight="1" x14ac:dyDescent="0.25">
      <c r="A48" s="7"/>
      <c r="B48" s="69"/>
      <c r="C48" s="28" t="s">
        <v>60</v>
      </c>
      <c r="D48" s="25">
        <v>72</v>
      </c>
      <c r="E48" s="25">
        <v>91</v>
      </c>
      <c r="F48" s="36">
        <f t="shared" si="0"/>
        <v>0.2638888888888889</v>
      </c>
      <c r="G48" s="7"/>
    </row>
    <row r="49" spans="1:7" s="18" customFormat="1" ht="24.95" customHeight="1" x14ac:dyDescent="0.25">
      <c r="A49" s="7"/>
      <c r="B49" s="69"/>
      <c r="C49" s="28" t="s">
        <v>63</v>
      </c>
      <c r="D49" s="25">
        <v>149</v>
      </c>
      <c r="E49" s="25">
        <v>187</v>
      </c>
      <c r="F49" s="36">
        <f t="shared" si="0"/>
        <v>0.25503355704697989</v>
      </c>
      <c r="G49" s="7"/>
    </row>
    <row r="50" spans="1:7" s="18" customFormat="1" ht="24.95" customHeight="1" x14ac:dyDescent="0.25">
      <c r="A50" s="7"/>
      <c r="B50" s="69"/>
      <c r="C50" s="28" t="s">
        <v>61</v>
      </c>
      <c r="D50" s="25">
        <v>144</v>
      </c>
      <c r="E50" s="25">
        <v>181</v>
      </c>
      <c r="F50" s="36">
        <f t="shared" si="0"/>
        <v>0.25694444444444442</v>
      </c>
      <c r="G50" s="7"/>
    </row>
    <row r="51" spans="1:7" s="18" customFormat="1" ht="24.95" customHeight="1" x14ac:dyDescent="0.25">
      <c r="A51" s="7"/>
      <c r="B51" s="69"/>
      <c r="C51" s="28" t="s">
        <v>64</v>
      </c>
      <c r="D51" s="25">
        <v>72</v>
      </c>
      <c r="E51" s="25">
        <v>91</v>
      </c>
      <c r="F51" s="36">
        <f t="shared" si="0"/>
        <v>0.2638888888888889</v>
      </c>
      <c r="G51" s="7"/>
    </row>
    <row r="52" spans="1:7" s="18" customFormat="1" ht="24.95" customHeight="1" x14ac:dyDescent="0.25">
      <c r="A52" s="7"/>
      <c r="B52" s="69"/>
      <c r="C52" s="28" t="s">
        <v>62</v>
      </c>
      <c r="D52" s="25">
        <v>144</v>
      </c>
      <c r="E52" s="25">
        <v>181</v>
      </c>
      <c r="F52" s="36">
        <f t="shared" si="0"/>
        <v>0.25694444444444442</v>
      </c>
      <c r="G52" s="7"/>
    </row>
    <row r="53" spans="1:7" s="18" customFormat="1" ht="24.95" customHeight="1" x14ac:dyDescent="0.25">
      <c r="A53" s="7"/>
      <c r="B53" s="70"/>
      <c r="C53" s="28" t="s">
        <v>24</v>
      </c>
      <c r="D53" s="25">
        <v>350</v>
      </c>
      <c r="E53" s="25">
        <v>440</v>
      </c>
      <c r="F53" s="36">
        <f t="shared" si="0"/>
        <v>0.25714285714285712</v>
      </c>
      <c r="G53" s="7"/>
    </row>
    <row r="54" spans="1:7" s="18" customFormat="1" ht="24.95" customHeight="1" x14ac:dyDescent="0.25">
      <c r="A54" s="7"/>
      <c r="B54" s="7"/>
      <c r="C54" s="30"/>
      <c r="D54" s="31"/>
      <c r="E54" s="14"/>
      <c r="G54" s="7"/>
    </row>
    <row r="55" spans="1:7" s="18" customFormat="1" ht="24.95" customHeight="1" x14ac:dyDescent="0.25">
      <c r="A55" s="7"/>
      <c r="B55" s="7"/>
      <c r="C55" s="30"/>
      <c r="D55" s="31"/>
      <c r="E55" s="14"/>
      <c r="G55" s="7"/>
    </row>
    <row r="56" spans="1:7" s="18" customFormat="1" ht="24.95" customHeight="1" x14ac:dyDescent="0.25">
      <c r="A56" s="7"/>
      <c r="B56" s="7"/>
      <c r="C56" s="30"/>
      <c r="D56" s="31"/>
      <c r="E56" s="14"/>
      <c r="G56" s="7"/>
    </row>
    <row r="57" spans="1:7" s="18" customFormat="1" ht="24.95" customHeight="1" x14ac:dyDescent="0.25">
      <c r="A57" s="7"/>
      <c r="B57" s="7"/>
      <c r="C57" s="30"/>
      <c r="D57" s="31"/>
      <c r="E57" s="14"/>
      <c r="G57" s="7"/>
    </row>
    <row r="58" spans="1:7" s="18" customFormat="1" ht="24.95" customHeight="1" x14ac:dyDescent="0.25">
      <c r="A58" s="7"/>
      <c r="B58" s="7"/>
      <c r="C58" s="30"/>
      <c r="D58" s="31"/>
      <c r="E58" s="14"/>
      <c r="G58" s="7"/>
    </row>
    <row r="59" spans="1:7" x14ac:dyDescent="0.25">
      <c r="C59" s="30"/>
      <c r="D59" s="31"/>
    </row>
    <row r="60" spans="1:7" x14ac:dyDescent="0.25">
      <c r="C60" s="30"/>
      <c r="D60" s="31"/>
    </row>
    <row r="61" spans="1:7" x14ac:dyDescent="0.25">
      <c r="C61" s="30"/>
      <c r="D61" s="31"/>
    </row>
    <row r="62" spans="1:7" x14ac:dyDescent="0.25">
      <c r="C62" s="30"/>
      <c r="D62" s="31"/>
    </row>
    <row r="63" spans="1:7" x14ac:dyDescent="0.25">
      <c r="C63" s="30"/>
      <c r="D63" s="31"/>
    </row>
    <row r="64" spans="1:7" x14ac:dyDescent="0.25">
      <c r="C64" s="30"/>
      <c r="D64" s="31"/>
    </row>
    <row r="65" spans="3:4" x14ac:dyDescent="0.25">
      <c r="C65" s="30"/>
      <c r="D65" s="31"/>
    </row>
    <row r="66" spans="3:4" x14ac:dyDescent="0.25">
      <c r="C66" s="30"/>
      <c r="D66" s="31"/>
    </row>
    <row r="67" spans="3:4" x14ac:dyDescent="0.25">
      <c r="C67" s="30"/>
      <c r="D67" s="31"/>
    </row>
    <row r="68" spans="3:4" x14ac:dyDescent="0.25">
      <c r="C68" s="30"/>
      <c r="D68" s="31"/>
    </row>
    <row r="69" spans="3:4" x14ac:dyDescent="0.25">
      <c r="C69" s="30"/>
      <c r="D69" s="31"/>
    </row>
    <row r="70" spans="3:4" x14ac:dyDescent="0.25">
      <c r="C70" s="30"/>
      <c r="D70" s="31"/>
    </row>
    <row r="71" spans="3:4" x14ac:dyDescent="0.25">
      <c r="C71" s="30"/>
      <c r="D71" s="31"/>
    </row>
  </sheetData>
  <mergeCells count="9">
    <mergeCell ref="B47:B53"/>
    <mergeCell ref="B2:B7"/>
    <mergeCell ref="B9:B14"/>
    <mergeCell ref="B16:B17"/>
    <mergeCell ref="B19:B26"/>
    <mergeCell ref="B31:B33"/>
    <mergeCell ref="B28:B29"/>
    <mergeCell ref="B39:B40"/>
    <mergeCell ref="B42:B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11</vt:i4>
      </vt:variant>
    </vt:vector>
  </HeadingPairs>
  <TitlesOfParts>
    <vt:vector size="13" baseType="lpstr">
      <vt:lpstr>Fatura Detay Formu</vt:lpstr>
      <vt:lpstr>Veriler</vt:lpstr>
      <vt:lpstr>'Fatura Detay Formu'!Akaryakıt_Hacim_Ölçek_Kapları</vt:lpstr>
      <vt:lpstr>'Fatura Detay Formu'!Akaryakıt_LPG_Adblue_Dispenserleri</vt:lpstr>
      <vt:lpstr>'Fatura Detay Formu'!Aks_Kantarları</vt:lpstr>
      <vt:lpstr>'Fatura Detay Formu'!CNG_Dispenserleri</vt:lpstr>
      <vt:lpstr>'Fatura Detay Formu'!Demiryolu_Yük_ve_Sarnıçlı_Vagonları</vt:lpstr>
      <vt:lpstr>'Fatura Detay Formu'!Hız_İhlal_Tespit_Donanımları</vt:lpstr>
      <vt:lpstr>'Fatura Detay Formu'!Kütle_Ölçüleri</vt:lpstr>
      <vt:lpstr>'Fatura Detay Formu'!Lastik_Hava_Basınçölçerler</vt:lpstr>
      <vt:lpstr>'Fatura Detay Formu'!Su_Dışındaki_Sıvılar_İçin_Ölçme_Sistemleri</vt:lpstr>
      <vt:lpstr>'Fatura Detay Formu'!Tanker_Sayaçları</vt:lpstr>
      <vt:lpstr>'Fatura Detay Formu'!Tartı_Aletleri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2026-07-19T18:02:47Z</dcterms:modified>
  <cp:category/>
</cp:coreProperties>
</file>